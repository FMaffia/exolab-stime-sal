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xolabit-my.sharepoint.com/personal/e_galizia_exolab_app/Documents/RAP/RUP/Maffia/RUP 2026 - Maffia/"/>
    </mc:Choice>
  </mc:AlternateContent>
  <xr:revisionPtr revIDLastSave="7" documentId="13_ncr:1_{BEF9BEDC-A370-4BC6-9D29-5295D8C49463}" xr6:coauthVersionLast="47" xr6:coauthVersionMax="47" xr10:uidLastSave="{BBCB1FE9-3513-4A63-B032-BF27EB74DBD4}"/>
  <bookViews>
    <workbookView xWindow="28680" yWindow="630" windowWidth="29040" windowHeight="15720" xr2:uid="{00000000-000D-0000-FFFF-FFFF00000000}"/>
  </bookViews>
  <sheets>
    <sheet name="Stima" sheetId="1" r:id="rId1"/>
    <sheet name="Dettaglio intervento" sheetId="3" r:id="rId2"/>
    <sheet name="CONFIG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7" i="1"/>
  <c r="D6" i="1"/>
  <c r="E10" i="3"/>
  <c r="E5" i="3"/>
  <c r="E6" i="3"/>
  <c r="E7" i="3"/>
  <c r="E8" i="3"/>
  <c r="E4" i="3"/>
  <c r="E3" i="3"/>
  <c r="D9" i="3"/>
  <c r="D10" i="3" s="1"/>
  <c r="E9" i="3" l="1"/>
  <c r="D5" i="1" s="1"/>
  <c r="D11" i="3"/>
  <c r="E11" i="3" l="1"/>
  <c r="D8" i="1" l="1"/>
</calcChain>
</file>

<file path=xl/sharedStrings.xml><?xml version="1.0" encoding="utf-8"?>
<sst xmlns="http://schemas.openxmlformats.org/spreadsheetml/2006/main" count="43" uniqueCount="37">
  <si>
    <t>#</t>
  </si>
  <si>
    <t>Attività</t>
  </si>
  <si>
    <t>Descrizione</t>
  </si>
  <si>
    <t>Stima (gg/uomo)</t>
  </si>
  <si>
    <t>Note / punti aperti</t>
  </si>
  <si>
    <t>Setup ambienti</t>
  </si>
  <si>
    <t>Installazione progetti e startup</t>
  </si>
  <si>
    <t>Analisi</t>
  </si>
  <si>
    <t>Vedi foglio di dettaglio</t>
  </si>
  <si>
    <t>Project Management</t>
  </si>
  <si>
    <t>Risk budget</t>
  </si>
  <si>
    <t xml:space="preserve">Totale </t>
  </si>
  <si>
    <t>Totale economico</t>
  </si>
  <si>
    <t>Totale sviluppi</t>
  </si>
  <si>
    <t>Test funzionali</t>
  </si>
  <si>
    <t xml:space="preserve">TOTALE </t>
  </si>
  <si>
    <t>App template — Macro attività</t>
  </si>
  <si>
    <t>Attività di sviluppo</t>
  </si>
  <si>
    <t>Analisi degli interventi</t>
  </si>
  <si>
    <t>Stima (gg/uomo) no contincecy</t>
  </si>
  <si>
    <t>Attività 1</t>
  </si>
  <si>
    <t>Attività 2</t>
  </si>
  <si>
    <t>Attività 3</t>
  </si>
  <si>
    <t>Attività 4</t>
  </si>
  <si>
    <t>Attività 5</t>
  </si>
  <si>
    <t>Attività 6</t>
  </si>
  <si>
    <t>Descrizione attività 1</t>
  </si>
  <si>
    <t>Descrizione attività 2</t>
  </si>
  <si>
    <t>Descrizione attività 3</t>
  </si>
  <si>
    <t>Descrizione attività 4</t>
  </si>
  <si>
    <t>Descrizione attività 5</t>
  </si>
  <si>
    <t>Descrizione attività 6</t>
  </si>
  <si>
    <t>% testing</t>
  </si>
  <si>
    <t>% contincency</t>
  </si>
  <si>
    <t>% PM</t>
  </si>
  <si>
    <t>% Risk Budget</t>
  </si>
  <si>
    <t>Tariffa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</si>
</sst>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  <font>
      <b/>
      <sz val="13"/>
      <color rgb="FFFFFFFF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3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/>
    </xf>
    <xf numFmtId="0" fontId="4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9" fontId="0" fillId="0" borderId="0" xfId="0" applyNumberFormat="1"/>
    <xf numFmtId="0" fontId="5" fillId="0" borderId="1" xfId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0" fillId="0" borderId="0" xfId="0"/>
    <xf numFmtId="44" fontId="0" fillId="0" borderId="0" xfId="2" applyFont="1"/>
  </cellXfs>
  <cellStyles count="3">
    <cellStyle name="Collegamento ipertestuale" xfId="1" builtinId="8"/>
    <cellStyle name="Normale" xfId="0" builtinId="0"/>
    <cellStyle name="Valuta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2" topLeftCell="A3" activePane="bottomLeft" state="frozen"/>
      <selection pane="bottomLeft" activeCell="C17" sqref="C17"/>
    </sheetView>
  </sheetViews>
  <sheetFormatPr defaultRowHeight="15" customHeight="1" x14ac:dyDescent="0.3"/>
  <cols>
    <col min="1" max="1" width="5" customWidth="1"/>
    <col min="2" max="2" width="32" customWidth="1"/>
    <col min="3" max="3" width="62" customWidth="1"/>
    <col min="4" max="4" width="16" customWidth="1"/>
    <col min="5" max="5" width="42" customWidth="1"/>
  </cols>
  <sheetData>
    <row r="1" spans="1:5" ht="24" customHeight="1" x14ac:dyDescent="0.3">
      <c r="A1" s="34" t="s">
        <v>16</v>
      </c>
      <c r="B1" s="35"/>
      <c r="C1" s="35"/>
      <c r="D1" s="35"/>
      <c r="E1" s="35"/>
    </row>
    <row r="2" spans="1:5" ht="14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4" x14ac:dyDescent="0.3">
      <c r="A3" s="2"/>
      <c r="B3" s="3" t="s">
        <v>5</v>
      </c>
      <c r="C3" s="3" t="s">
        <v>6</v>
      </c>
      <c r="D3" s="18">
        <v>3</v>
      </c>
      <c r="E3" s="3"/>
    </row>
    <row r="4" spans="1:5" ht="14.4" x14ac:dyDescent="0.3">
      <c r="A4" s="2"/>
      <c r="B4" s="3" t="s">
        <v>7</v>
      </c>
      <c r="C4" s="22" t="s">
        <v>18</v>
      </c>
      <c r="D4" s="18">
        <v>10</v>
      </c>
      <c r="E4" s="3"/>
    </row>
    <row r="5" spans="1:5" ht="14.4" x14ac:dyDescent="0.3">
      <c r="A5" s="2"/>
      <c r="B5" s="3" t="s">
        <v>17</v>
      </c>
      <c r="C5" s="3"/>
      <c r="D5" s="18">
        <f>'Dettaglio intervento'!E9</f>
        <v>61</v>
      </c>
      <c r="E5" s="33" t="s">
        <v>8</v>
      </c>
    </row>
    <row r="6" spans="1:5" ht="14.4" x14ac:dyDescent="0.3">
      <c r="A6" s="2"/>
      <c r="B6" s="3" t="s">
        <v>9</v>
      </c>
      <c r="C6" s="6"/>
      <c r="D6" s="18">
        <f>ROUND(SUM(D3:D5)*CONFIG!$C$4,0)</f>
        <v>11</v>
      </c>
      <c r="E6" s="8"/>
    </row>
    <row r="7" spans="1:5" ht="14.4" x14ac:dyDescent="0.3">
      <c r="A7" s="2"/>
      <c r="B7" s="3" t="s">
        <v>10</v>
      </c>
      <c r="C7" s="6"/>
      <c r="D7" s="19">
        <f>ROUND(SUM(D3:D6)*CONFIG!C5,0)</f>
        <v>17</v>
      </c>
      <c r="E7" s="7"/>
    </row>
    <row r="8" spans="1:5" ht="14.4" x14ac:dyDescent="0.3">
      <c r="A8" s="4"/>
      <c r="B8" s="5" t="s">
        <v>11</v>
      </c>
      <c r="C8" s="4"/>
      <c r="D8" s="20">
        <f>SUM(D3:D7)</f>
        <v>102</v>
      </c>
      <c r="E8" s="9"/>
    </row>
    <row r="9" spans="1:5" ht="14.4" x14ac:dyDescent="0.3">
      <c r="A9" s="4"/>
      <c r="B9" s="5" t="s">
        <v>12</v>
      </c>
      <c r="C9" s="4"/>
      <c r="D9" s="21">
        <f>D8*CONFIG!C6</f>
        <v>45084</v>
      </c>
      <c r="E9" s="4"/>
    </row>
    <row r="10" spans="1:5" ht="14.4" x14ac:dyDescent="0.3"/>
    <row r="11" spans="1:5" ht="14.4" x14ac:dyDescent="0.3"/>
    <row r="12" spans="1:5" ht="14.4" x14ac:dyDescent="0.3"/>
    <row r="13" spans="1:5" ht="14.4" x14ac:dyDescent="0.3"/>
    <row r="14" spans="1:5" ht="14.4" x14ac:dyDescent="0.3"/>
    <row r="15" spans="1:5" ht="14.4" x14ac:dyDescent="0.3"/>
    <row r="16" spans="1:5" ht="14.4" x14ac:dyDescent="0.3"/>
    <row r="17" ht="14.4" x14ac:dyDescent="0.3"/>
  </sheetData>
  <mergeCells count="1">
    <mergeCell ref="A1:E1"/>
  </mergeCells>
  <hyperlinks>
    <hyperlink ref="E5" location="'Dettaglio intervento'!A1" display="Vedi foglio di dettaglio" xr:uid="{B3069DC7-54F0-40EC-BB86-C57A6D3D70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7505-FFE2-4B79-BE05-C13F5D4EFFF4}">
  <dimension ref="A1:F11"/>
  <sheetViews>
    <sheetView workbookViewId="0">
      <pane ySplit="2" topLeftCell="A3" activePane="bottomLeft" state="frozen"/>
      <selection pane="bottomLeft" activeCell="E9" sqref="E9"/>
    </sheetView>
  </sheetViews>
  <sheetFormatPr defaultRowHeight="14.4" x14ac:dyDescent="0.3"/>
  <cols>
    <col min="1" max="1" width="5" customWidth="1"/>
    <col min="2" max="2" width="32" customWidth="1"/>
    <col min="3" max="3" width="62" customWidth="1"/>
    <col min="4" max="5" width="16" customWidth="1"/>
    <col min="6" max="6" width="61.77734375" customWidth="1"/>
  </cols>
  <sheetData>
    <row r="1" spans="1:6" ht="24" customHeight="1" x14ac:dyDescent="0.3">
      <c r="A1" s="34" t="s">
        <v>16</v>
      </c>
      <c r="B1" s="35"/>
      <c r="C1" s="35"/>
      <c r="D1" s="35"/>
      <c r="E1" s="35"/>
      <c r="F1" s="35"/>
    </row>
    <row r="2" spans="1:6" ht="26.4" x14ac:dyDescent="0.3">
      <c r="A2" s="12" t="s">
        <v>0</v>
      </c>
      <c r="B2" s="12" t="s">
        <v>1</v>
      </c>
      <c r="C2" s="12" t="s">
        <v>2</v>
      </c>
      <c r="D2" s="23" t="s">
        <v>19</v>
      </c>
      <c r="E2" s="12" t="s">
        <v>3</v>
      </c>
      <c r="F2" s="12" t="s">
        <v>4</v>
      </c>
    </row>
    <row r="3" spans="1:6" x14ac:dyDescent="0.3">
      <c r="A3" s="10">
        <v>1</v>
      </c>
      <c r="B3" s="24" t="s">
        <v>20</v>
      </c>
      <c r="C3" s="24" t="s">
        <v>26</v>
      </c>
      <c r="D3" s="25">
        <v>6</v>
      </c>
      <c r="E3" s="13">
        <f>ROUND(D3+D3*CONFIG!$C$3,0)</f>
        <v>8</v>
      </c>
      <c r="F3" s="11"/>
    </row>
    <row r="4" spans="1:6" x14ac:dyDescent="0.3">
      <c r="A4" s="10">
        <v>2</v>
      </c>
      <c r="B4" s="24" t="s">
        <v>21</v>
      </c>
      <c r="C4" s="24" t="s">
        <v>27</v>
      </c>
      <c r="D4" s="13">
        <v>8</v>
      </c>
      <c r="E4" s="13">
        <f>ROUND(D4+D4*CONFIG!$C$3,0)</f>
        <v>10</v>
      </c>
      <c r="F4" s="11"/>
    </row>
    <row r="5" spans="1:6" x14ac:dyDescent="0.3">
      <c r="A5" s="10">
        <v>3</v>
      </c>
      <c r="B5" s="24" t="s">
        <v>22</v>
      </c>
      <c r="C5" s="24" t="s">
        <v>28</v>
      </c>
      <c r="D5" s="13">
        <v>7</v>
      </c>
      <c r="E5" s="13">
        <f>ROUND(D5+D5*CONFIG!$C$3,0)</f>
        <v>9</v>
      </c>
      <c r="F5" s="11"/>
    </row>
    <row r="6" spans="1:6" x14ac:dyDescent="0.3">
      <c r="A6" s="10">
        <v>4</v>
      </c>
      <c r="B6" s="24" t="s">
        <v>23</v>
      </c>
      <c r="C6" s="24" t="s">
        <v>29</v>
      </c>
      <c r="D6" s="13">
        <v>15</v>
      </c>
      <c r="E6" s="13">
        <f>ROUND(D6+D6*CONFIG!$C$3,0)</f>
        <v>20</v>
      </c>
      <c r="F6" s="11"/>
    </row>
    <row r="7" spans="1:6" x14ac:dyDescent="0.3">
      <c r="A7" s="10">
        <v>5</v>
      </c>
      <c r="B7" s="24" t="s">
        <v>24</v>
      </c>
      <c r="C7" s="24" t="s">
        <v>30</v>
      </c>
      <c r="D7" s="13">
        <v>8</v>
      </c>
      <c r="E7" s="13">
        <f>ROUND(D7+D7*CONFIG!$C$3,0)</f>
        <v>10</v>
      </c>
      <c r="F7" s="11"/>
    </row>
    <row r="8" spans="1:6" x14ac:dyDescent="0.3">
      <c r="A8" s="10">
        <v>6</v>
      </c>
      <c r="B8" s="24" t="s">
        <v>25</v>
      </c>
      <c r="C8" s="24" t="s">
        <v>31</v>
      </c>
      <c r="D8" s="13">
        <v>3</v>
      </c>
      <c r="E8" s="13">
        <f>ROUND(D8+D8*CONFIG!$C$3,0)</f>
        <v>4</v>
      </c>
      <c r="F8" s="11"/>
    </row>
    <row r="9" spans="1:6" x14ac:dyDescent="0.3">
      <c r="A9" s="16"/>
      <c r="B9" s="26" t="s">
        <v>13</v>
      </c>
      <c r="C9" s="27"/>
      <c r="D9" s="28">
        <f>SUM(D3:D8)</f>
        <v>47</v>
      </c>
      <c r="E9" s="28">
        <f>SUM(E3:E8)</f>
        <v>61</v>
      </c>
      <c r="F9" s="27"/>
    </row>
    <row r="10" spans="1:6" x14ac:dyDescent="0.3">
      <c r="A10" s="16"/>
      <c r="B10" s="29" t="s">
        <v>14</v>
      </c>
      <c r="C10" s="30"/>
      <c r="D10" s="31">
        <f>ROUND(D9*0.1,0)</f>
        <v>5</v>
      </c>
      <c r="E10" s="31">
        <f>ROUND(E9*CONFIG!$C$2,0)</f>
        <v>6</v>
      </c>
      <c r="F10" s="27"/>
    </row>
    <row r="11" spans="1:6" x14ac:dyDescent="0.3">
      <c r="A11" s="17"/>
      <c r="B11" s="15" t="s">
        <v>15</v>
      </c>
      <c r="C11" s="15"/>
      <c r="D11" s="14">
        <f>SUM(D9:D10)</f>
        <v>52</v>
      </c>
      <c r="E11" s="14">
        <f>SUM(E9:E10)</f>
        <v>67</v>
      </c>
      <c r="F11" s="15"/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9061-6F74-4E95-A0F0-1E706CAFB48B}">
  <dimension ref="B2:C6"/>
  <sheetViews>
    <sheetView workbookViewId="0">
      <selection activeCell="C7" sqref="C7"/>
    </sheetView>
  </sheetViews>
  <sheetFormatPr defaultRowHeight="14.4" x14ac:dyDescent="0.3"/>
  <cols>
    <col min="2" max="2" width="13.33203125" bestFit="1" customWidth="1"/>
    <col min="3" max="3" width="9.21875" bestFit="1" customWidth="1"/>
  </cols>
  <sheetData>
    <row r="2" spans="2:3" x14ac:dyDescent="0.3">
      <c r="B2" t="s">
        <v>32</v>
      </c>
      <c r="C2" s="32">
        <v>0.1</v>
      </c>
    </row>
    <row r="3" spans="2:3" x14ac:dyDescent="0.3">
      <c r="B3" t="s">
        <v>33</v>
      </c>
      <c r="C3" s="32">
        <v>0.3</v>
      </c>
    </row>
    <row r="4" spans="2:3" x14ac:dyDescent="0.3">
      <c r="B4" t="s">
        <v>34</v>
      </c>
      <c r="C4" s="32">
        <v>0.15</v>
      </c>
    </row>
    <row r="5" spans="2:3" x14ac:dyDescent="0.3">
      <c r="B5" t="s">
        <v>35</v>
      </c>
      <c r="C5" s="32">
        <v>0.2</v>
      </c>
    </row>
    <row r="6" spans="2:3" x14ac:dyDescent="0.3">
      <c r="B6" t="s">
        <v>36</v>
      </c>
      <c r="C6" s="36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Stima</vt:lpstr>
      <vt:lpstr>Dettaglio intervento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Edo Galizia</cp:lastModifiedBy>
  <cp:revision/>
  <dcterms:created xsi:type="dcterms:W3CDTF">2026-09-01T09:40:31Z</dcterms:created>
  <dcterms:modified xsi:type="dcterms:W3CDTF">2026-09-07T13:01:26Z</dcterms:modified>
  <cp:category/>
  <cp:contentStatus/>
</cp:coreProperties>
</file>